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trategy" sheetId="1" r:id="rId5"/>
    <sheet state="visible" name="Test Cases" sheetId="2" r:id="rId6"/>
    <sheet state="visible" name="Summary" sheetId="3" r:id="rId7"/>
  </sheets>
  <definedNames>
    <definedName hidden="1" localSheetId="1" name="_xlnm._FilterDatabase">'Test Cases'!$A$1:$I$69</definedName>
  </definedNames>
  <calcPr/>
</workbook>
</file>

<file path=xl/sharedStrings.xml><?xml version="1.0" encoding="utf-8"?>
<sst xmlns="http://schemas.openxmlformats.org/spreadsheetml/2006/main" count="669" uniqueCount="363">
  <si>
    <t>Notch / Guardio - Automation Audit - Test Strategy</t>
  </si>
  <si>
    <t>Metric</t>
  </si>
  <si>
    <t>ID</t>
  </si>
  <si>
    <t>Suite</t>
  </si>
  <si>
    <t>Title</t>
  </si>
  <si>
    <t>Priority</t>
  </si>
  <si>
    <t>Type</t>
  </si>
  <si>
    <t>Preconditions</t>
  </si>
  <si>
    <t>Steps</t>
  </si>
  <si>
    <t>Expected Result</t>
  </si>
  <si>
    <t>Automated</t>
  </si>
  <si>
    <t>SMK-01</t>
  </si>
  <si>
    <t>Smoke</t>
  </si>
  <si>
    <t>Value</t>
  </si>
  <si>
    <t>Automation Audit section loads</t>
  </si>
  <si>
    <t>P1</t>
  </si>
  <si>
    <t>Total test cases</t>
  </si>
  <si>
    <t>Positive</t>
  </si>
  <si>
    <t>User has access to Config &gt; Automation &gt; Guardrails</t>
  </si>
  <si>
    <t>1. Open Guardrails config.
2. Scroll to 'Automation Audit'.</t>
  </si>
  <si>
    <t>All 4 fields (Emails patterns to unassign, Subjects, Words in User Message, Words in Assistant's Reply) are visible with their description text and current chips.</t>
  </si>
  <si>
    <t>N</t>
  </si>
  <si>
    <t>Feature under test:</t>
  </si>
  <si>
    <t>SMK-02</t>
  </si>
  <si>
    <t>Config &gt; Automation &gt; Guardrails &gt; Automation Audit (Emails patterns to unassign, Subjects, Words in User Message, Words in Assistant's Reply)</t>
  </si>
  <si>
    <t>Environment observed:</t>
  </si>
  <si>
    <t>DEV - version NM-17AUGUST-143816 (Draft)</t>
  </si>
  <si>
    <t>Add one valid value to each of the 4 fields</t>
  </si>
  <si>
    <t>Guardrails page open, no unsaved changes</t>
  </si>
  <si>
    <t>For each of the 4 fields: click its input, type a unique value, press Enter.</t>
  </si>
  <si>
    <t>A new chip is added to each field immediately; header control switches from 'Deploy' to 'Discard' / 'Save'.</t>
  </si>
  <si>
    <t>Y</t>
  </si>
  <si>
    <t>SMK-03</t>
  </si>
  <si>
    <t>Save persists the added values</t>
  </si>
  <si>
    <t>Goal</t>
  </si>
  <si>
    <t>Follows SMK-02</t>
  </si>
  <si>
    <t>Click 'Save'.</t>
  </si>
  <si>
    <t>Fast, high-confidence pass that the Automation Audit section loads and its core add / remove / save / discard flows work. Run first, after every deploy, before deeper testing.</t>
  </si>
  <si>
    <t>Save completes without error; page returns to a clean state (Deploy button shown); values remain present after a page reload.</t>
  </si>
  <si>
    <t>Functional</t>
  </si>
  <si>
    <t>Verify each of the 4 fields independently supports adding, removing and listing values correctly, per the feature's documented behavior.</t>
  </si>
  <si>
    <t>SMK-04</t>
  </si>
  <si>
    <t>Remove a chip</t>
  </si>
  <si>
    <t>Validation &amp; Boundary</t>
  </si>
  <si>
    <t>Negative and edge-case input handling: empty, whitespace, duplicates, length limits, special/unicode characters, multi-word phrases, malformed email patterns.</t>
  </si>
  <si>
    <t>At least one chip exists in a field</t>
  </si>
  <si>
    <t>UI / UX</t>
  </si>
  <si>
    <t>Click the '×' on a chip.</t>
  </si>
  <si>
    <t>Visual and interaction correctness: placeholders, chip wrapping, hit targets, focus states, and the Deploy/Discard/Save affordance.</t>
  </si>
  <si>
    <t>The chip is removed immediately and the field is marked dirty (Discard/Save shown).</t>
  </si>
  <si>
    <t>State Management (Save/Discard)</t>
  </si>
  <si>
    <t>SMK-05</t>
  </si>
  <si>
    <t>Correctness of the draft lifecycle: unsaved changes, Save persistence, Discard reversion, and concurrent-edit / navigation-away risk.</t>
  </si>
  <si>
    <t>Discard reverts unsaved changes</t>
  </si>
  <si>
    <t>Regression</t>
  </si>
  <si>
    <t>Confirms the 4 fields stay isolated from each other and that seeded data survives unrelated edits, after any change to the section.</t>
  </si>
  <si>
    <t>At least one unsaved add/remove is pending</t>
  </si>
  <si>
    <t>Click 'Discard', confirm in the modal.</t>
  </si>
  <si>
    <t>Security</t>
  </si>
  <si>
    <t>All 4 fields revert exactly to their last saved state; header returns to 'Deploy'.</t>
  </si>
  <si>
    <t>Injection handling (XSS/SQLi), abuse of overly broad patterns, malformed payloads, and access control around who can edit/deploy the rules.</t>
  </si>
  <si>
    <t>FUNC-01</t>
  </si>
  <si>
    <t>Integration / End-to-End</t>
  </si>
  <si>
    <t>Confirms each of the 4 trigger types actually causes (or correctly does not cause) conversation auto-unassignment once deployed, including substring-vs-word matching semantics.</t>
  </si>
  <si>
    <t>Add a new unique value to 'Emails patterns to unassign'</t>
  </si>
  <si>
    <t>Accessibility</t>
  </si>
  <si>
    <t>Keyboard operability, screen-reader labeling, contrast and focus order for the chip-list inputs and their remove controls.</t>
  </si>
  <si>
    <t>Guardrails page open</t>
  </si>
  <si>
    <t>1. Click the 'Emails patterns to unassign' input.
2. Type a new, unique value.
3. Press Enter.</t>
  </si>
  <si>
    <t>Cross-Browser / Responsive</t>
  </si>
  <si>
    <t>A new chip is appended to the end of the list, exactly matching the typed (trimmed) value; the input is cleared and ready for the next entry.</t>
  </si>
  <si>
    <t>Consistency of behavior and layout across major browsers and common viewport widths.</t>
  </si>
  <si>
    <t>Performance</t>
  </si>
  <si>
    <t>FUNC-02</t>
  </si>
  <si>
    <t>UI and backend responsiveness as the configured lists grow large.</t>
  </si>
  <si>
    <t>Add a new unique value to 'Subjects'</t>
  </si>
  <si>
    <t>1. Click the 'Subjects' input.
2. Type a new, unique value.
3. Press Enter.</t>
  </si>
  <si>
    <t>FUNC-03</t>
  </si>
  <si>
    <t>Add a new unique value to 'Words in User Message'</t>
  </si>
  <si>
    <t>P1 (critical)</t>
  </si>
  <si>
    <t>1. Click the 'Words in User Message' input.
2. Type a new, unique value.
3. Press Enter.</t>
  </si>
  <si>
    <t>FUNC-04</t>
  </si>
  <si>
    <t>Add a new unique value to 'Words in Assistant's Reply'</t>
  </si>
  <si>
    <t>1. Click the 'Words in Assistant's Reply' input.
2. Type a new, unique value.
3. Press Enter.</t>
  </si>
  <si>
    <t>FUNC-05</t>
  </si>
  <si>
    <t>Remove an existing seeded chip from each field</t>
  </si>
  <si>
    <t>Field contains at least one existing chip</t>
  </si>
  <si>
    <t>Click '×' on an existing chip (not one just added in this session).</t>
  </si>
  <si>
    <t>The targeted chip disappears; all other chips in the field keep their original order; the field's chip count decreases by exactly one.</t>
  </si>
  <si>
    <t>FUNC-06</t>
  </si>
  <si>
    <t>Add multiple values in sequence without reload</t>
  </si>
  <si>
    <t>P2 (important)</t>
  </si>
  <si>
    <t>P2</t>
  </si>
  <si>
    <t>Add 3 different unique values, one after another, to the same field.</t>
  </si>
  <si>
    <t>All 3 chips appear, in the order they were added, with no duplicates or dropped entries.</t>
  </si>
  <si>
    <t>FUNC-07</t>
  </si>
  <si>
    <t>Field helper text matches documented trigger</t>
  </si>
  <si>
    <t>P3 (nice to have)</t>
  </si>
  <si>
    <t>Read the description line under each of the 4 field headings.</t>
  </si>
  <si>
    <t>Text matches the documented trigger: sender email address (patterns), subject line (keywords), user message (words), AI-generated reply (words) respectively.</t>
  </si>
  <si>
    <t>FUNC-08</t>
  </si>
  <si>
    <t>Add a value using keyboard only (no mouse)</t>
  </si>
  <si>
    <t>Tab to the field's input using the keyboard, type a value, press Enter.</t>
  </si>
  <si>
    <t>Behaves identically to a mouse-driven add: chip is created, no layout break, focus remains usable for further keyboard entry.</t>
  </si>
  <si>
    <t>Automated in this pass</t>
  </si>
  <si>
    <t>FUNC-09</t>
  </si>
  <si>
    <t>Empty field renders correctly (no existing chips)</t>
  </si>
  <si>
    <t>'Words in Assistant's Reply' has 0 chips (baseline)</t>
  </si>
  <si>
    <t>Open the Guardrails page and inspect the field before adding anything.</t>
  </si>
  <si>
    <t>Field shows only the input with its placeholder text; no empty/ghost chip is rendered; layout matches the populated fields (just without chips).</t>
  </si>
  <si>
    <t>VAL-01</t>
  </si>
  <si>
    <t>Submit an empty value</t>
  </si>
  <si>
    <t>Negative</t>
  </si>
  <si>
    <t>Click the input, press Enter without typing anything.</t>
  </si>
  <si>
    <t>No chip is created; no error is thrown; the field is not marked dirty.</t>
  </si>
  <si>
    <t>VAL-02</t>
  </si>
  <si>
    <t>Cases per suite:</t>
  </si>
  <si>
    <t>Submit a whitespace-only value</t>
  </si>
  <si>
    <t>Type only spaces (e.g. '   ') into the input, press Enter.</t>
  </si>
  <si>
    <t>No chip is created (whitespace-only is treated as empty after trim).</t>
  </si>
  <si>
    <t>VAL-03</t>
  </si>
  <si>
    <t>Leading/trailing whitespace is trimmed</t>
  </si>
  <si>
    <t>Boundary</t>
  </si>
  <si>
    <t>Type '  spaced word  ' (leading/trailing spaces) into the input, press Enter.</t>
  </si>
  <si>
    <t>Chip is created as 'spaced word' with outer whitespace stripped; internal space between words is preserved.</t>
  </si>
  <si>
    <t>VAL-04</t>
  </si>
  <si>
    <t>Exact duplicate value is rejected</t>
  </si>
  <si>
    <t>Field already contains value 'noreply'</t>
  </si>
  <si>
    <t>Type 'noreply' again into the same field's input, press Enter.</t>
  </si>
  <si>
    <t>No second 'noreply' chip is created; list count is unchanged.</t>
  </si>
  <si>
    <t>VAL-05</t>
  </si>
  <si>
    <t>Case-variant duplicate ('NoReply' vs 'noreply')</t>
  </si>
  <si>
    <t>Negative / Exploratory</t>
  </si>
  <si>
    <t>Type 'NoReply' (different case) into the input, press Enter.</t>
  </si>
  <si>
    <t>OPEN QUESTION - confirm with product whether matching (and de-dup) should be case-insensitive. Document actual observed behavior as either a pass or a defect depending on the intended spec.</t>
  </si>
  <si>
    <t>VAL-06</t>
  </si>
  <si>
    <t>Input does not retain stale text after a rejected duplicate</t>
  </si>
  <si>
    <t>Negative / Regression</t>
  </si>
  <si>
    <t>1. Type 'noreply', press Enter (rejected, see VAL-04).
2. Select-all in the input and type a new unique value, press Enter.</t>
  </si>
  <si>
    <t>DEFECT OBSERVED DURING EXPLORATION: the leftover 'noreply' text was not cleared, and the new text was prepended to it, producing a corrupted chip (e.g. 'newvaluenoreply'). Expected: input fully clears after a rejected duplicate so the next entry is unaffected.</t>
  </si>
  <si>
    <t>VAL-07</t>
  </si>
  <si>
    <t>Very long value (500+ characters)</t>
  </si>
  <si>
    <t>Paste a 500+ character string into the input, press Enter.</t>
  </si>
  <si>
    <t>System either enforces a sensible max length with a clear message, or accepts and displays it without breaking layout. Document the actual observed limit (none was surfaced in the UI during exploration).</t>
  </si>
  <si>
    <t>VAL-08</t>
  </si>
  <si>
    <t>Single-character / overly broad value</t>
  </si>
  <si>
    <t>Boundary / Business risk</t>
  </si>
  <si>
    <t>Add the single character 'a' to 'Words in User Message'.</t>
  </si>
  <si>
    <t>System currently accepts it with no warning. Flag as a business-risk finding: a 1-character 'contains' match will unassign a very high proportion of conversations; recommend a minimum-length or confirm-broad-match warning.</t>
  </si>
  <si>
    <t>VAL-09</t>
  </si>
  <si>
    <t>Special characters</t>
  </si>
  <si>
    <t>Add a value containing symbols, e.g. '@#$%^&amp;*()&lt;&gt;"\''.</t>
  </si>
  <si>
    <t>Value is accepted/rejected consistently across all 4 fields and rendered as literal text (no broken layout, no console errors).</t>
  </si>
  <si>
    <t>VAL-10</t>
  </si>
  <si>
    <t>Unicode and emoji values</t>
  </si>
  <si>
    <t>P3</t>
  </si>
  <si>
    <t>Add a value such as 'héllo😀' (accented + emoji).</t>
  </si>
  <si>
    <t>Value is stored and displayed correctly (no mojibake, no truncation, no crash).</t>
  </si>
  <si>
    <t>VAL-11</t>
  </si>
  <si>
    <t>Multi-word phrase in a 'word' field</t>
  </si>
  <si>
    <t>Boundary / Exploratory</t>
  </si>
  <si>
    <t>Add 'please escalate' (two words) to 'Words in User Message'.</t>
  </si>
  <si>
    <t>OBSERVED: accepted as a single chip/token despite the field being labelled 'word' (singular). Confirm with product whether the backend matches this as an exact phrase or splits it into separate word matches - behavior is not evident from the UI alone.</t>
  </si>
  <si>
    <t>VAL-12</t>
  </si>
  <si>
    <t>Non-email-shaped value in email pattern field</t>
  </si>
  <si>
    <t>Add 'not-an-email' (no '@') to 'Emails patterns to unassign'.</t>
  </si>
  <si>
    <t>Accepted, consistent with the field being a free-text substring 'pattern' rather than a validated email address - matches the field's own description text.</t>
  </si>
  <si>
    <t>VAL-13</t>
  </si>
  <si>
    <t>Rapid add/remove of the same value</t>
  </si>
  <si>
    <t>Negative / Race condition</t>
  </si>
  <si>
    <t>Quickly add a value, remove it, add it again, remove it again (4 actions in fast succession).</t>
  </si>
  <si>
    <t>Final UI state matches the net result of the actions (0 chips); no duplicate or 'stuck' chip remains from a race condition.</t>
  </si>
  <si>
    <t>UI-01</t>
  </si>
  <si>
    <t>Placeholder text is field-specific</t>
  </si>
  <si>
    <t>Field has 0 chips or cursor is in the input</t>
  </si>
  <si>
    <t>Inspect the placeholder shown in each of the 4 inputs.</t>
  </si>
  <si>
    <t>Each placeholder gives a relevant example for that field (e.g. "'@shopify'" for email patterns, "'paperwork'" for assistant's reply words) and is not a generic/shared string.</t>
  </si>
  <si>
    <t>UI-02</t>
  </si>
  <si>
    <t>Chip list wraps correctly when it grows long</t>
  </si>
  <si>
    <t>Field has 15+ chips</t>
  </si>
  <si>
    <t>Add enough values to a field to force the chips onto multiple visual rows.</t>
  </si>
  <si>
    <t>Chips wrap onto new lines cleanly with consistent spacing; nothing overlaps, clips, or pushes the input off-screen.</t>
  </si>
  <si>
    <t>UI-03</t>
  </si>
  <si>
    <t>Remove ('×') control has a safe, precise hit target</t>
  </si>
  <si>
    <t>Field has 2+ adjacent chips</t>
  </si>
  <si>
    <t>Click just outside a chip's '×', close to the chip boundary but not on it.</t>
  </si>
  <si>
    <t>No chip is removed unless the '×' itself is clicked. NOTE: during exploration, a click aimed at the input field landed on an adjacent chip's '×' and silently deleted it - recommend increasing the clickable padding around remove controls.</t>
  </si>
  <si>
    <t>UI-04</t>
  </si>
  <si>
    <t>Input focus state is visible</t>
  </si>
  <si>
    <t>Click into each of the 4 inputs.</t>
  </si>
  <si>
    <t>A clear focus indicator (border/highlight) appears and is removed on blur.</t>
  </si>
  <si>
    <t>UI-05</t>
  </si>
  <si>
    <t>Header control reflects dirty state</t>
  </si>
  <si>
    <t>Guardrails page open, currently clean (shows 'Deploy')</t>
  </si>
  <si>
    <t>Add or remove any chip in any of the 4 fields.</t>
  </si>
  <si>
    <t>Header immediately swaps the single 'Deploy' button for 'Discard' + 'Save'; reverts to 'Deploy' once changes are saved or discarded.</t>
  </si>
  <si>
    <t>UI-06</t>
  </si>
  <si>
    <t>Discard confirmation modal behaves correctly</t>
  </si>
  <si>
    <t>Positive / Negative</t>
  </si>
  <si>
    <t>Unsaved changes are pending</t>
  </si>
  <si>
    <t>1. Click 'Discard'.
2. In the modal, click 'Keep editing'.
3. Click 'Discard' again, then confirm 'Discard' in the modal.</t>
  </si>
  <si>
    <t>'Keep editing' closes the modal and preserves the pending edits. Confirming 'Discard' reverts every field to its last saved state and closes the modal.</t>
  </si>
  <si>
    <t>UI-07</t>
  </si>
  <si>
    <t>AI-assist icon pair next to each field</t>
  </si>
  <si>
    <t>Exploratory</t>
  </si>
  <si>
    <t>Hover / inspect the two small icons shown to the right of each field's chip list.</t>
  </si>
  <si>
    <t>OPEN QUESTION: purpose is not labeled or documented in the UI (no visible tooltip or accessible name found). Recommend clarifying intended behavior with product/design and adding a tooltip or aria-label before relying on it in test coverage.</t>
  </si>
  <si>
    <t>UI-08</t>
  </si>
  <si>
    <t>Visual consistency across the 4 fields</t>
  </si>
  <si>
    <t>Compare label style, helper-text style, spacing and chip styling across all 4 fields.</t>
  </si>
  <si>
    <t>All 4 fields share identical spacing, typography and chip styling (visual regression baseline).</t>
  </si>
  <si>
    <t>STATE-01</t>
  </si>
  <si>
    <t>Saved value survives a reload</t>
  </si>
  <si>
    <t>1. Add a unique value.
2. Click Save.
3. Reload the page.</t>
  </si>
  <si>
    <t>The value is still present after reload (confirms persistence, not just client-side state).</t>
  </si>
  <si>
    <t>STATE-02</t>
  </si>
  <si>
    <t>Discarded add does not survive a reload</t>
  </si>
  <si>
    <t>1. Add a unique value.
2. Click Discard, confirm.
3. Reload the page.</t>
  </si>
  <si>
    <t>The value is absent after reload.</t>
  </si>
  <si>
    <t>STATE-03</t>
  </si>
  <si>
    <t>Discarding a removal restores the chip</t>
  </si>
  <si>
    <t>Field has an existing chip</t>
  </si>
  <si>
    <t>1. Remove an existing chip.
2. Click Discard, confirm.</t>
  </si>
  <si>
    <t>The removed chip reappears immediately (no reload needed) in its original position.</t>
  </si>
  <si>
    <t>STATE-04</t>
  </si>
  <si>
    <t>Leaving the page with unsaved changes</t>
  </si>
  <si>
    <t>With a pending unsaved edit, click another Config sub-page (e.g. 'Rules').</t>
  </si>
  <si>
    <t>Document whether the app warns about unsaved changes before navigating away, or whether the edit is silently lost - this is a data-loss risk if no warning exists.</t>
  </si>
  <si>
    <t>STATE-05</t>
  </si>
  <si>
    <t>Concurrent edits in two sessions</t>
  </si>
  <si>
    <t>Same draft open in two browser tabs/sessions</t>
  </si>
  <si>
    <t>Edit Automation Audit in Tab A and Tab B; Save in Tab A, then Save in Tab B.</t>
  </si>
  <si>
    <t>Document the actual behavior (last-write-wins overwrite, conflict warning, or merge). Flag as a collaboration risk if edits can be silently overwritten.</t>
  </si>
  <si>
    <t>STATE-06</t>
  </si>
  <si>
    <t>Save vs Deploy are distinct actions</t>
  </si>
  <si>
    <t>1. Add a value and click Save (not Deploy).
2. Observe the version/Draft badge.</t>
  </si>
  <si>
    <t>Save persists the draft; the version keeps its 'Draft' label until 'Deploy' is pressed, confirming Save does not implicitly publish the change to production.</t>
  </si>
  <si>
    <t>REG-01</t>
  </si>
  <si>
    <t>Fields are isolated from one another</t>
  </si>
  <si>
    <t>Add a value to 'Subjects' only.</t>
  </si>
  <si>
    <t>The other 3 Automation Audit fields (Emails patterns, Words in User Message, Words in Assistant's Reply) show no new chip and no change.</t>
  </si>
  <si>
    <t>REG-02</t>
  </si>
  <si>
    <t>Re-run smoke suite after an Automation Audit change</t>
  </si>
  <si>
    <t>Meta</t>
  </si>
  <si>
    <t>Any Automation Audit edit has just been saved</t>
  </si>
  <si>
    <t>Re-execute SMK-01 through SMK-05.</t>
  </si>
  <si>
    <t>All smoke checks still pass; confirms the change did not break the section as a whole.</t>
  </si>
  <si>
    <t>REG-03</t>
  </si>
  <si>
    <t>Pre-existing seeded values remain intact</t>
  </si>
  <si>
    <t>Baseline: testroman1@test.com, noreply, test@gmail.com, liran@test.com, Lawyer, gdpr*, block, liran are present</t>
  </si>
  <si>
    <t>Perform an unrelated add/remove elsewhere in the section, then inspect the seeded values.</t>
  </si>
  <si>
    <t>All originally seeded chips are still present, unmodified and in their original order.</t>
  </si>
  <si>
    <t>SEC-01</t>
  </si>
  <si>
    <t>Script injection payload is neutralized</t>
  </si>
  <si>
    <t>Add '&lt;script&gt;alert(1)&lt;/script&gt;' as a value and Save.</t>
  </si>
  <si>
    <t>Payload is stored/rendered as inert literal text everywhere it can later be displayed (config UI, any diff/audit view); no script executes.</t>
  </si>
  <si>
    <t>SEC-02</t>
  </si>
  <si>
    <t>SQL-injection-style payload is handled safely</t>
  </si>
  <si>
    <t>Add "' OR '1'='1" as a value and Save.</t>
  </si>
  <si>
    <t>No backend error; value is stored and displayed as plain text with no unexpected side effects.</t>
  </si>
  <si>
    <t>SEC-03</t>
  </si>
  <si>
    <t>Overly broad pattern is not silently allowed</t>
  </si>
  <si>
    <t>Security / Business risk</t>
  </si>
  <si>
    <t>Add a very broad pattern such as '@', '.', or 'com' to 'Emails patterns to unassign'.</t>
  </si>
  <si>
    <t>Document whether the system warns about patterns broad enough to match a large share of legitimate senders. Currently unguarded during exploration - recommend a confirmation prompt for very short/broad entries.</t>
  </si>
  <si>
    <t>SEC-04</t>
  </si>
  <si>
    <t>Only authorized roles can edit/Deploy Automation Audit rules</t>
  </si>
  <si>
    <t>A lower-privilege test account is available</t>
  </si>
  <si>
    <t>Attempt to open, edit and Deploy the Guardrails config as a read-only / non-admin role.</t>
  </si>
  <si>
    <t>Edit and Deploy actions are blocked or hidden for unauthorized roles; only read access (if any) is available.</t>
  </si>
  <si>
    <t>SEC-05</t>
  </si>
  <si>
    <t>Malformed/oversized payload does not corrupt the draft</t>
  </si>
  <si>
    <t>Security / Boundary</t>
  </si>
  <si>
    <t>Add an extremely long string with control characters to one field, Save.</t>
  </si>
  <si>
    <t>Save either rejects the value with a clear message or accepts it without corrupting the other 3 fields or the rest of the Guardrails config.</t>
  </si>
  <si>
    <t>INT-01</t>
  </si>
  <si>
    <t>Sender email pattern triggers unassignment</t>
  </si>
  <si>
    <t>Pattern deployed to a test/staging environment; test conversation tool available</t>
  </si>
  <si>
    <t>Configure and deploy an email pattern, then send/simulate a conversation from a matching sender.</t>
  </si>
  <si>
    <t>The matching conversation is auto-unassigned as documented.</t>
  </si>
  <si>
    <t>INT-02</t>
  </si>
  <si>
    <t>Subject keyword triggers unassignment</t>
  </si>
  <si>
    <t>Same as INT-01</t>
  </si>
  <si>
    <t>Configure and deploy a subject keyword, simulate a conversation with a matching subject.</t>
  </si>
  <si>
    <t>The matching conversation is auto-unassigned.</t>
  </si>
  <si>
    <t>INT-03</t>
  </si>
  <si>
    <t>User-message word triggers unassignment</t>
  </si>
  <si>
    <t>Configure and deploy a 'Words in User Message' entry, simulate a customer message containing it.</t>
  </si>
  <si>
    <t>Unassignment triggers only once the matching message is sent, not before.</t>
  </si>
  <si>
    <t>INT-04</t>
  </si>
  <si>
    <t>Assistant-reply word triggers unassignment</t>
  </si>
  <si>
    <t>Configure and deploy a 'Words in Assistant's Reply' entry, simulate the AI generating a reply containing it.</t>
  </si>
  <si>
    <t>Unassignment triggers based on the AI's own generated output, independent of the customer's message.</t>
  </si>
  <si>
    <t>INT-05</t>
  </si>
  <si>
    <t>Non-matching conversation is left alone</t>
  </si>
  <si>
    <t>Simulate a conversation that matches none of the 4 configured lists.</t>
  </si>
  <si>
    <t>The conversation is NOT unassigned (no false positive).</t>
  </si>
  <si>
    <t>INT-06</t>
  </si>
  <si>
    <t>Substring vs whole-word matching</t>
  </si>
  <si>
    <t>A 'Words in User Message' entry 'block' exists</t>
  </si>
  <si>
    <t>Simulate a user message containing 'unblocked' (word appears only as a substring).</t>
  </si>
  <si>
    <t>Confirms whether matching is substring-based ('contains', per the field's own description) or whole-word only. Document the actual behavior - affects false-positive rate significantly.</t>
  </si>
  <si>
    <t>INT-07</t>
  </si>
  <si>
    <t>Overlapping Automation Audit and Escalation triggers</t>
  </si>
  <si>
    <t>A message matches both an Automation Audit word and a configured Escalation Reason</t>
  </si>
  <si>
    <t>Simulate a message satisfying both trigger types at once.</t>
  </si>
  <si>
    <t>Document which behavior wins (unassign vs escalate) and whether the outcome is deterministic and documented for agents relying on it.</t>
  </si>
  <si>
    <t>INT-08</t>
  </si>
  <si>
    <t>Removing + deploying a pattern stops future matches</t>
  </si>
  <si>
    <t>A pattern is currently deployed and actively matching</t>
  </si>
  <si>
    <t>Remove the pattern, Save, then Deploy. Simulate a conversation that previously matched.</t>
  </si>
  <si>
    <t>The conversation is no longer auto-unassigned, confirming the rule change took effect in production, not just in the draft UI.</t>
  </si>
  <si>
    <t>A11Y-01</t>
  </si>
  <si>
    <t>Full keyboard operability</t>
  </si>
  <si>
    <t>Using only Tab / Shift+Tab / Enter / Space / Backspace, add and remove a chip in each field.</t>
  </si>
  <si>
    <t>Every action achievable with a mouse is also achievable via keyboard alone, with a visible focus indicator throughout.</t>
  </si>
  <si>
    <t>A11Y-02</t>
  </si>
  <si>
    <t>Inputs have a programmatic label</t>
  </si>
  <si>
    <t>Inspect each input's accessible name via a screen reader / accessibility tree.</t>
  </si>
  <si>
    <t>Each of the 4 inputs exposes a meaningful accessible name tied to its field (not just empty or generic), so a screen-reader user knows which list they are editing.</t>
  </si>
  <si>
    <t>A11Y-03</t>
  </si>
  <si>
    <t>Remove buttons need a descriptive accessible name</t>
  </si>
  <si>
    <t>Field has at least one chip</t>
  </si>
  <si>
    <t>Inspect the accessible name of a chip's '×' button.</t>
  </si>
  <si>
    <t>DEFECT OBSERVED: the button's only accessible content is the glyph '×' with no aria-label - a screen-reader user cannot tell which value they are about to remove. Recommend 'aria-label="Remove {value}"'.</t>
  </si>
  <si>
    <t>A11Y-04</t>
  </si>
  <si>
    <t>Color contrast of chips and controls</t>
  </si>
  <si>
    <t>Run an automated contrast check (e.g. axe / Lighthouse) against the Automation Audit section.</t>
  </si>
  <si>
    <t>Chip text/background and all interactive controls meet WCAG 2.1 AA contrast ratios.</t>
  </si>
  <si>
    <t>A11Y-05</t>
  </si>
  <si>
    <t>Logical focus order</t>
  </si>
  <si>
    <t>Tab through the entire Automation Audit section from the top.</t>
  </si>
  <si>
    <t>Focus moves in the same order the fields are visually presented (top to bottom, chips before the input, within each field).</t>
  </si>
  <si>
    <t>XBR-01</t>
  </si>
  <si>
    <t>Functions correctly across major browsers</t>
  </si>
  <si>
    <t>Compatibility</t>
  </si>
  <si>
    <t>Access to Chrome, Firefox, Safari, Edge (latest)</t>
  </si>
  <si>
    <t>Repeat SMK-02 through SMK-05 in each browser.</t>
  </si>
  <si>
    <t>Identical behavior and layout in all 4 browsers; no console errors specific to any one engine.</t>
  </si>
  <si>
    <t>XBR-02</t>
  </si>
  <si>
    <t>Responsive layout at common breakpoints</t>
  </si>
  <si>
    <t>Resize the viewport to desktop, tablet and narrow-window widths.</t>
  </si>
  <si>
    <t>Chips wrap and the input remains usable at every breakpoint; no horizontal scroll or overlapping content; the Deploy/Discard/Save bar stays reachable.</t>
  </si>
  <si>
    <t>XBR-03</t>
  </si>
  <si>
    <t>Touch interaction on a tablet viewport</t>
  </si>
  <si>
    <t>Touch-capable device or emulator, if tablet support is in scope</t>
  </si>
  <si>
    <t>Tap to focus the input, type, tap a chip's '×'.</t>
  </si>
  <si>
    <t>Both actions work reliably via touch with adequately sized tap targets.</t>
  </si>
  <si>
    <t>PERF-01</t>
  </si>
  <si>
    <t>UI responsiveness with a large chip list</t>
  </si>
  <si>
    <t>A field has ~100 chips (seeded via API/script for test purposes)</t>
  </si>
  <si>
    <t>Type into the input and add/remove chips while the list is large.</t>
  </si>
  <si>
    <t>No noticeable typing lag or jank; add/remove remains near-instant.</t>
  </si>
  <si>
    <t>PERF-02</t>
  </si>
  <si>
    <t>Save/Deploy latency as list size grows</t>
  </si>
  <si>
    <t>Multiple fields populated with large chip counts</t>
  </si>
  <si>
    <t>Measure time-to-complete for Save and for Deploy as the total number of configured values increases (e.g. 10 vs 100 vs 500 total entries).</t>
  </si>
  <si>
    <t>Latency scales acceptably (roughly linear, not exponential); no timeout errors.</t>
  </si>
  <si>
    <t>PERF-03</t>
  </si>
  <si>
    <t>Live message-processing latency at scale</t>
  </si>
  <si>
    <t>Large Automation Audit lists deployed; access to processing metrics</t>
  </si>
  <si>
    <t>Compare AI message/reply processing latency with a small vs a large configured list.</t>
  </si>
  <si>
    <t>Latency increase is within an acceptable, documented threshold as the lists that every message/reply must be checked against grow.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</si>
</sst>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  <font>
      <sz val="11.0"/>
      <color theme="1"/>
      <name val="Arial"/>
    </font>
    <font>
      <b/>
      <sz val="10.0"/>
      <color rgb="FF047857"/>
      <name val="Arial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DE2E2"/>
        <bgColor rgb="FFFDE2E2"/>
      </patternFill>
    </fill>
    <fill>
      <patternFill patternType="solid">
        <fgColor rgb="FFFEF3C7"/>
        <bgColor rgb="FFFEF3C7"/>
      </patternFill>
    </fill>
    <fill>
      <patternFill patternType="solid">
        <fgColor rgb="FFDBEAFE"/>
        <bgColor rgb="FFDBEAFE"/>
      </patternFill>
    </fill>
  </fills>
  <borders count="3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0" fillId="0" fontId="4" numFmtId="0" xfId="0" applyAlignment="1" applyFont="1">
      <alignment shrinkToFit="0" vertical="bottom" wrapText="0"/>
    </xf>
    <xf borderId="1" fillId="0" fontId="5" numFmtId="0" xfId="0" applyAlignment="1" applyBorder="1" applyFont="1">
      <alignment shrinkToFit="0" vertical="top" wrapText="1"/>
    </xf>
    <xf borderId="2" fillId="2" fontId="2" numFmtId="0" xfId="0" applyAlignment="1" applyBorder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1" fillId="5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4.0"/>
    <col customWidth="1" min="2" max="2" width="110.0"/>
    <col customWidth="1" min="3" max="26" width="8.71"/>
  </cols>
  <sheetData>
    <row r="1">
      <c r="A1" s="1" t="s">
        <v>0</v>
      </c>
      <c r="B1" s="5"/>
    </row>
    <row r="2">
      <c r="A2" s="5"/>
      <c r="B2" s="5"/>
    </row>
    <row r="3">
      <c r="A3" s="5" t="s">
        <v>22</v>
      </c>
      <c r="B3" s="5" t="s">
        <v>24</v>
      </c>
    </row>
    <row r="4">
      <c r="A4" s="5" t="s">
        <v>25</v>
      </c>
      <c r="B4" s="5" t="s">
        <v>26</v>
      </c>
    </row>
    <row r="5">
      <c r="A5" s="5"/>
      <c r="B5" s="5"/>
    </row>
    <row r="6">
      <c r="A6" s="9" t="s">
        <v>3</v>
      </c>
      <c r="B6" s="9" t="s">
        <v>34</v>
      </c>
    </row>
    <row r="7">
      <c r="A7" s="5" t="s">
        <v>12</v>
      </c>
      <c r="B7" s="5" t="s">
        <v>37</v>
      </c>
    </row>
    <row r="8">
      <c r="A8" s="5" t="s">
        <v>39</v>
      </c>
      <c r="B8" s="5" t="s">
        <v>40</v>
      </c>
    </row>
    <row r="9">
      <c r="A9" s="5" t="s">
        <v>43</v>
      </c>
      <c r="B9" s="5" t="s">
        <v>44</v>
      </c>
    </row>
    <row r="10">
      <c r="A10" s="5" t="s">
        <v>46</v>
      </c>
      <c r="B10" s="5" t="s">
        <v>48</v>
      </c>
    </row>
    <row r="11">
      <c r="A11" s="5" t="s">
        <v>50</v>
      </c>
      <c r="B11" s="5" t="s">
        <v>52</v>
      </c>
    </row>
    <row r="12">
      <c r="A12" s="5" t="s">
        <v>54</v>
      </c>
      <c r="B12" s="5" t="s">
        <v>55</v>
      </c>
    </row>
    <row r="13">
      <c r="A13" s="5" t="s">
        <v>58</v>
      </c>
      <c r="B13" s="5" t="s">
        <v>60</v>
      </c>
    </row>
    <row r="14">
      <c r="A14" s="5" t="s">
        <v>62</v>
      </c>
      <c r="B14" s="5" t="s">
        <v>63</v>
      </c>
    </row>
    <row r="15">
      <c r="A15" s="5" t="s">
        <v>65</v>
      </c>
      <c r="B15" s="5" t="s">
        <v>66</v>
      </c>
    </row>
    <row r="16">
      <c r="A16" s="5" t="s">
        <v>69</v>
      </c>
      <c r="B16" s="5" t="s">
        <v>71</v>
      </c>
    </row>
    <row r="17">
      <c r="A17" s="5" t="s">
        <v>72</v>
      </c>
      <c r="B17" s="5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34.0"/>
    <col customWidth="1" min="4" max="4" width="9.0"/>
    <col customWidth="1" min="5" max="5" width="16.0"/>
    <col customWidth="1" min="6" max="6" width="30.0"/>
    <col customWidth="1" min="7" max="7" width="40.0"/>
    <col customWidth="1" min="8" max="8" width="46.0"/>
    <col customWidth="1" min="9" max="9" width="11.0"/>
    <col customWidth="1" min="10" max="26" width="8.71"/>
  </cols>
  <sheetData>
    <row r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</row>
    <row r="2">
      <c r="A2" s="4" t="s">
        <v>11</v>
      </c>
      <c r="B2" s="4" t="s">
        <v>12</v>
      </c>
      <c r="C2" s="4" t="s">
        <v>14</v>
      </c>
      <c r="D2" s="6" t="s">
        <v>15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</row>
    <row r="3">
      <c r="A3" s="4" t="s">
        <v>23</v>
      </c>
      <c r="B3" s="4" t="s">
        <v>12</v>
      </c>
      <c r="C3" s="4" t="s">
        <v>27</v>
      </c>
      <c r="D3" s="6" t="s">
        <v>15</v>
      </c>
      <c r="E3" s="4" t="s">
        <v>17</v>
      </c>
      <c r="F3" s="4" t="s">
        <v>28</v>
      </c>
      <c r="G3" s="4" t="s">
        <v>29</v>
      </c>
      <c r="H3" s="4" t="s">
        <v>30</v>
      </c>
      <c r="I3" s="8" t="s">
        <v>31</v>
      </c>
    </row>
    <row r="4">
      <c r="A4" s="4" t="s">
        <v>32</v>
      </c>
      <c r="B4" s="4" t="s">
        <v>12</v>
      </c>
      <c r="C4" s="4" t="s">
        <v>33</v>
      </c>
      <c r="D4" s="6" t="s">
        <v>15</v>
      </c>
      <c r="E4" s="4" t="s">
        <v>17</v>
      </c>
      <c r="F4" s="4" t="s">
        <v>35</v>
      </c>
      <c r="G4" s="4" t="s">
        <v>36</v>
      </c>
      <c r="H4" s="4" t="s">
        <v>38</v>
      </c>
      <c r="I4" s="4" t="s">
        <v>21</v>
      </c>
    </row>
    <row r="5">
      <c r="A5" s="4" t="s">
        <v>41</v>
      </c>
      <c r="B5" s="4" t="s">
        <v>12</v>
      </c>
      <c r="C5" s="4" t="s">
        <v>42</v>
      </c>
      <c r="D5" s="6" t="s">
        <v>15</v>
      </c>
      <c r="E5" s="4" t="s">
        <v>17</v>
      </c>
      <c r="F5" s="4" t="s">
        <v>45</v>
      </c>
      <c r="G5" s="4" t="s">
        <v>47</v>
      </c>
      <c r="H5" s="4" t="s">
        <v>49</v>
      </c>
      <c r="I5" s="8" t="s">
        <v>31</v>
      </c>
    </row>
    <row r="6">
      <c r="A6" s="4" t="s">
        <v>51</v>
      </c>
      <c r="B6" s="4" t="s">
        <v>12</v>
      </c>
      <c r="C6" s="4" t="s">
        <v>53</v>
      </c>
      <c r="D6" s="6" t="s">
        <v>15</v>
      </c>
      <c r="E6" s="4" t="s">
        <v>17</v>
      </c>
      <c r="F6" s="4" t="s">
        <v>56</v>
      </c>
      <c r="G6" s="4" t="s">
        <v>57</v>
      </c>
      <c r="H6" s="4" t="s">
        <v>59</v>
      </c>
      <c r="I6" s="8" t="s">
        <v>31</v>
      </c>
    </row>
    <row r="7">
      <c r="A7" s="4" t="s">
        <v>61</v>
      </c>
      <c r="B7" s="4" t="s">
        <v>39</v>
      </c>
      <c r="C7" s="4" t="s">
        <v>64</v>
      </c>
      <c r="D7" s="6" t="s">
        <v>15</v>
      </c>
      <c r="E7" s="4" t="s">
        <v>17</v>
      </c>
      <c r="F7" s="4" t="s">
        <v>67</v>
      </c>
      <c r="G7" s="4" t="s">
        <v>68</v>
      </c>
      <c r="H7" s="4" t="s">
        <v>70</v>
      </c>
      <c r="I7" s="8" t="s">
        <v>31</v>
      </c>
    </row>
    <row r="8">
      <c r="A8" s="4" t="s">
        <v>73</v>
      </c>
      <c r="B8" s="4" t="s">
        <v>39</v>
      </c>
      <c r="C8" s="4" t="s">
        <v>75</v>
      </c>
      <c r="D8" s="6" t="s">
        <v>15</v>
      </c>
      <c r="E8" s="4" t="s">
        <v>17</v>
      </c>
      <c r="F8" s="4" t="s">
        <v>67</v>
      </c>
      <c r="G8" s="4" t="s">
        <v>76</v>
      </c>
      <c r="H8" s="4" t="s">
        <v>70</v>
      </c>
      <c r="I8" s="4" t="s">
        <v>21</v>
      </c>
    </row>
    <row r="9">
      <c r="A9" s="4" t="s">
        <v>77</v>
      </c>
      <c r="B9" s="4" t="s">
        <v>39</v>
      </c>
      <c r="C9" s="4" t="s">
        <v>78</v>
      </c>
      <c r="D9" s="6" t="s">
        <v>15</v>
      </c>
      <c r="E9" s="4" t="s">
        <v>17</v>
      </c>
      <c r="F9" s="4" t="s">
        <v>67</v>
      </c>
      <c r="G9" s="4" t="s">
        <v>80</v>
      </c>
      <c r="H9" s="4" t="s">
        <v>70</v>
      </c>
      <c r="I9" s="4" t="s">
        <v>21</v>
      </c>
    </row>
    <row r="10">
      <c r="A10" s="4" t="s">
        <v>81</v>
      </c>
      <c r="B10" s="4" t="s">
        <v>39</v>
      </c>
      <c r="C10" s="4" t="s">
        <v>82</v>
      </c>
      <c r="D10" s="6" t="s">
        <v>15</v>
      </c>
      <c r="E10" s="4" t="s">
        <v>17</v>
      </c>
      <c r="F10" s="4" t="s">
        <v>67</v>
      </c>
      <c r="G10" s="4" t="s">
        <v>83</v>
      </c>
      <c r="H10" s="4" t="s">
        <v>70</v>
      </c>
      <c r="I10" s="4" t="s">
        <v>21</v>
      </c>
    </row>
    <row r="11">
      <c r="A11" s="4" t="s">
        <v>84</v>
      </c>
      <c r="B11" s="4" t="s">
        <v>39</v>
      </c>
      <c r="C11" s="4" t="s">
        <v>85</v>
      </c>
      <c r="D11" s="6" t="s">
        <v>15</v>
      </c>
      <c r="E11" s="4" t="s">
        <v>17</v>
      </c>
      <c r="F11" s="4" t="s">
        <v>86</v>
      </c>
      <c r="G11" s="4" t="s">
        <v>87</v>
      </c>
      <c r="H11" s="4" t="s">
        <v>88</v>
      </c>
      <c r="I11" s="8" t="s">
        <v>31</v>
      </c>
    </row>
    <row r="12">
      <c r="A12" s="4" t="s">
        <v>89</v>
      </c>
      <c r="B12" s="4" t="s">
        <v>39</v>
      </c>
      <c r="C12" s="4" t="s">
        <v>90</v>
      </c>
      <c r="D12" s="10" t="s">
        <v>92</v>
      </c>
      <c r="E12" s="4" t="s">
        <v>17</v>
      </c>
      <c r="F12" s="4" t="s">
        <v>67</v>
      </c>
      <c r="G12" s="4" t="s">
        <v>93</v>
      </c>
      <c r="H12" s="4" t="s">
        <v>94</v>
      </c>
      <c r="I12" s="4" t="s">
        <v>21</v>
      </c>
    </row>
    <row r="13">
      <c r="A13" s="4" t="s">
        <v>95</v>
      </c>
      <c r="B13" s="4" t="s">
        <v>39</v>
      </c>
      <c r="C13" s="4" t="s">
        <v>96</v>
      </c>
      <c r="D13" s="10" t="s">
        <v>92</v>
      </c>
      <c r="E13" s="4" t="s">
        <v>17</v>
      </c>
      <c r="F13" s="4" t="s">
        <v>67</v>
      </c>
      <c r="G13" s="4" t="s">
        <v>98</v>
      </c>
      <c r="H13" s="4" t="s">
        <v>99</v>
      </c>
      <c r="I13" s="4" t="s">
        <v>21</v>
      </c>
    </row>
    <row r="14">
      <c r="A14" s="4" t="s">
        <v>100</v>
      </c>
      <c r="B14" s="4" t="s">
        <v>39</v>
      </c>
      <c r="C14" s="4" t="s">
        <v>101</v>
      </c>
      <c r="D14" s="10" t="s">
        <v>92</v>
      </c>
      <c r="E14" s="4" t="s">
        <v>17</v>
      </c>
      <c r="F14" s="4" t="s">
        <v>67</v>
      </c>
      <c r="G14" s="4" t="s">
        <v>102</v>
      </c>
      <c r="H14" s="4" t="s">
        <v>103</v>
      </c>
      <c r="I14" s="4" t="s">
        <v>21</v>
      </c>
    </row>
    <row r="15">
      <c r="A15" s="4" t="s">
        <v>105</v>
      </c>
      <c r="B15" s="4" t="s">
        <v>39</v>
      </c>
      <c r="C15" s="4" t="s">
        <v>106</v>
      </c>
      <c r="D15" s="10" t="s">
        <v>92</v>
      </c>
      <c r="E15" s="4" t="s">
        <v>17</v>
      </c>
      <c r="F15" s="4" t="s">
        <v>107</v>
      </c>
      <c r="G15" s="4" t="s">
        <v>108</v>
      </c>
      <c r="H15" s="4" t="s">
        <v>109</v>
      </c>
      <c r="I15" s="4" t="s">
        <v>21</v>
      </c>
    </row>
    <row r="16">
      <c r="A16" s="4" t="s">
        <v>110</v>
      </c>
      <c r="B16" s="4" t="s">
        <v>43</v>
      </c>
      <c r="C16" s="4" t="s">
        <v>111</v>
      </c>
      <c r="D16" s="6" t="s">
        <v>15</v>
      </c>
      <c r="E16" s="4" t="s">
        <v>112</v>
      </c>
      <c r="F16" s="4" t="s">
        <v>67</v>
      </c>
      <c r="G16" s="4" t="s">
        <v>113</v>
      </c>
      <c r="H16" s="4" t="s">
        <v>114</v>
      </c>
      <c r="I16" s="8" t="s">
        <v>31</v>
      </c>
    </row>
    <row r="17">
      <c r="A17" s="4" t="s">
        <v>115</v>
      </c>
      <c r="B17" s="4" t="s">
        <v>43</v>
      </c>
      <c r="C17" s="4" t="s">
        <v>117</v>
      </c>
      <c r="D17" s="6" t="s">
        <v>15</v>
      </c>
      <c r="E17" s="4" t="s">
        <v>112</v>
      </c>
      <c r="F17" s="4" t="s">
        <v>67</v>
      </c>
      <c r="G17" s="4" t="s">
        <v>118</v>
      </c>
      <c r="H17" s="4" t="s">
        <v>119</v>
      </c>
      <c r="I17" s="4" t="s">
        <v>21</v>
      </c>
    </row>
    <row r="18">
      <c r="A18" s="4" t="s">
        <v>120</v>
      </c>
      <c r="B18" s="4" t="s">
        <v>43</v>
      </c>
      <c r="C18" s="4" t="s">
        <v>121</v>
      </c>
      <c r="D18" s="6" t="s">
        <v>15</v>
      </c>
      <c r="E18" s="4" t="s">
        <v>122</v>
      </c>
      <c r="F18" s="4" t="s">
        <v>67</v>
      </c>
      <c r="G18" s="4" t="s">
        <v>123</v>
      </c>
      <c r="H18" s="4" t="s">
        <v>124</v>
      </c>
      <c r="I18" s="8" t="s">
        <v>31</v>
      </c>
    </row>
    <row r="19">
      <c r="A19" s="4" t="s">
        <v>125</v>
      </c>
      <c r="B19" s="4" t="s">
        <v>43</v>
      </c>
      <c r="C19" s="4" t="s">
        <v>126</v>
      </c>
      <c r="D19" s="6" t="s">
        <v>15</v>
      </c>
      <c r="E19" s="4" t="s">
        <v>112</v>
      </c>
      <c r="F19" s="4" t="s">
        <v>127</v>
      </c>
      <c r="G19" s="4" t="s">
        <v>128</v>
      </c>
      <c r="H19" s="4" t="s">
        <v>129</v>
      </c>
      <c r="I19" s="8" t="s">
        <v>31</v>
      </c>
    </row>
    <row r="20">
      <c r="A20" s="4" t="s">
        <v>130</v>
      </c>
      <c r="B20" s="4" t="s">
        <v>43</v>
      </c>
      <c r="C20" s="4" t="s">
        <v>131</v>
      </c>
      <c r="D20" s="10" t="s">
        <v>92</v>
      </c>
      <c r="E20" s="4" t="s">
        <v>132</v>
      </c>
      <c r="F20" s="4" t="s">
        <v>127</v>
      </c>
      <c r="G20" s="4" t="s">
        <v>133</v>
      </c>
      <c r="H20" s="4" t="s">
        <v>134</v>
      </c>
      <c r="I20" s="4" t="s">
        <v>21</v>
      </c>
    </row>
    <row r="21" ht="15.75" customHeight="1">
      <c r="A21" s="4" t="s">
        <v>135</v>
      </c>
      <c r="B21" s="4" t="s">
        <v>43</v>
      </c>
      <c r="C21" s="4" t="s">
        <v>136</v>
      </c>
      <c r="D21" s="6" t="s">
        <v>15</v>
      </c>
      <c r="E21" s="4" t="s">
        <v>137</v>
      </c>
      <c r="F21" s="4" t="s">
        <v>127</v>
      </c>
      <c r="G21" s="4" t="s">
        <v>138</v>
      </c>
      <c r="H21" s="4" t="s">
        <v>139</v>
      </c>
      <c r="I21" s="8" t="s">
        <v>31</v>
      </c>
    </row>
    <row r="22" ht="15.75" customHeight="1">
      <c r="A22" s="4" t="s">
        <v>140</v>
      </c>
      <c r="B22" s="4" t="s">
        <v>43</v>
      </c>
      <c r="C22" s="4" t="s">
        <v>141</v>
      </c>
      <c r="D22" s="10" t="s">
        <v>92</v>
      </c>
      <c r="E22" s="4" t="s">
        <v>122</v>
      </c>
      <c r="F22" s="4" t="s">
        <v>67</v>
      </c>
      <c r="G22" s="4" t="s">
        <v>142</v>
      </c>
      <c r="H22" s="4" t="s">
        <v>143</v>
      </c>
      <c r="I22" s="4" t="s">
        <v>21</v>
      </c>
    </row>
    <row r="23" ht="15.75" customHeight="1">
      <c r="A23" s="4" t="s">
        <v>144</v>
      </c>
      <c r="B23" s="4" t="s">
        <v>43</v>
      </c>
      <c r="C23" s="4" t="s">
        <v>145</v>
      </c>
      <c r="D23" s="10" t="s">
        <v>92</v>
      </c>
      <c r="E23" s="4" t="s">
        <v>146</v>
      </c>
      <c r="F23" s="4" t="s">
        <v>67</v>
      </c>
      <c r="G23" s="4" t="s">
        <v>147</v>
      </c>
      <c r="H23" s="4" t="s">
        <v>148</v>
      </c>
      <c r="I23" s="4" t="s">
        <v>21</v>
      </c>
    </row>
    <row r="24" ht="15.75" customHeight="1">
      <c r="A24" s="4" t="s">
        <v>149</v>
      </c>
      <c r="B24" s="4" t="s">
        <v>43</v>
      </c>
      <c r="C24" s="4" t="s">
        <v>150</v>
      </c>
      <c r="D24" s="10" t="s">
        <v>92</v>
      </c>
      <c r="E24" s="4" t="s">
        <v>112</v>
      </c>
      <c r="F24" s="4" t="s">
        <v>67</v>
      </c>
      <c r="G24" s="4" t="s">
        <v>151</v>
      </c>
      <c r="H24" s="4" t="s">
        <v>152</v>
      </c>
      <c r="I24" s="4" t="s">
        <v>21</v>
      </c>
    </row>
    <row r="25" ht="15.75" customHeight="1">
      <c r="A25" s="4" t="s">
        <v>153</v>
      </c>
      <c r="B25" s="4" t="s">
        <v>43</v>
      </c>
      <c r="C25" s="4" t="s">
        <v>154</v>
      </c>
      <c r="D25" s="12" t="s">
        <v>155</v>
      </c>
      <c r="E25" s="4" t="s">
        <v>122</v>
      </c>
      <c r="F25" s="4" t="s">
        <v>67</v>
      </c>
      <c r="G25" s="4" t="s">
        <v>156</v>
      </c>
      <c r="H25" s="4" t="s">
        <v>157</v>
      </c>
      <c r="I25" s="4" t="s">
        <v>21</v>
      </c>
    </row>
    <row r="26" ht="15.75" customHeight="1">
      <c r="A26" s="4" t="s">
        <v>158</v>
      </c>
      <c r="B26" s="4" t="s">
        <v>43</v>
      </c>
      <c r="C26" s="4" t="s">
        <v>159</v>
      </c>
      <c r="D26" s="10" t="s">
        <v>92</v>
      </c>
      <c r="E26" s="4" t="s">
        <v>160</v>
      </c>
      <c r="F26" s="4" t="s">
        <v>67</v>
      </c>
      <c r="G26" s="4" t="s">
        <v>161</v>
      </c>
      <c r="H26" s="4" t="s">
        <v>162</v>
      </c>
      <c r="I26" s="4" t="s">
        <v>21</v>
      </c>
    </row>
    <row r="27" ht="15.75" customHeight="1">
      <c r="A27" s="4" t="s">
        <v>163</v>
      </c>
      <c r="B27" s="4" t="s">
        <v>43</v>
      </c>
      <c r="C27" s="4" t="s">
        <v>164</v>
      </c>
      <c r="D27" s="12" t="s">
        <v>155</v>
      </c>
      <c r="E27" s="4" t="s">
        <v>122</v>
      </c>
      <c r="F27" s="4" t="s">
        <v>67</v>
      </c>
      <c r="G27" s="4" t="s">
        <v>165</v>
      </c>
      <c r="H27" s="4" t="s">
        <v>166</v>
      </c>
      <c r="I27" s="4" t="s">
        <v>21</v>
      </c>
    </row>
    <row r="28" ht="15.75" customHeight="1">
      <c r="A28" s="4" t="s">
        <v>167</v>
      </c>
      <c r="B28" s="4" t="s">
        <v>43</v>
      </c>
      <c r="C28" s="4" t="s">
        <v>168</v>
      </c>
      <c r="D28" s="12" t="s">
        <v>155</v>
      </c>
      <c r="E28" s="4" t="s">
        <v>169</v>
      </c>
      <c r="F28" s="4" t="s">
        <v>67</v>
      </c>
      <c r="G28" s="4" t="s">
        <v>170</v>
      </c>
      <c r="H28" s="4" t="s">
        <v>171</v>
      </c>
      <c r="I28" s="4" t="s">
        <v>21</v>
      </c>
    </row>
    <row r="29" ht="15.75" customHeight="1">
      <c r="A29" s="4" t="s">
        <v>172</v>
      </c>
      <c r="B29" s="4" t="s">
        <v>46</v>
      </c>
      <c r="C29" s="4" t="s">
        <v>173</v>
      </c>
      <c r="D29" s="10" t="s">
        <v>92</v>
      </c>
      <c r="E29" s="4" t="s">
        <v>17</v>
      </c>
      <c r="F29" s="4" t="s">
        <v>174</v>
      </c>
      <c r="G29" s="4" t="s">
        <v>175</v>
      </c>
      <c r="H29" s="4" t="s">
        <v>176</v>
      </c>
      <c r="I29" s="4" t="s">
        <v>21</v>
      </c>
    </row>
    <row r="30" ht="15.75" customHeight="1">
      <c r="A30" s="4" t="s">
        <v>177</v>
      </c>
      <c r="B30" s="4" t="s">
        <v>46</v>
      </c>
      <c r="C30" s="4" t="s">
        <v>178</v>
      </c>
      <c r="D30" s="10" t="s">
        <v>92</v>
      </c>
      <c r="E30" s="4" t="s">
        <v>17</v>
      </c>
      <c r="F30" s="4" t="s">
        <v>179</v>
      </c>
      <c r="G30" s="4" t="s">
        <v>180</v>
      </c>
      <c r="H30" s="4" t="s">
        <v>181</v>
      </c>
      <c r="I30" s="4" t="s">
        <v>21</v>
      </c>
    </row>
    <row r="31" ht="15.75" customHeight="1">
      <c r="A31" s="4" t="s">
        <v>182</v>
      </c>
      <c r="B31" s="4" t="s">
        <v>46</v>
      </c>
      <c r="C31" s="4" t="s">
        <v>183</v>
      </c>
      <c r="D31" s="6" t="s">
        <v>15</v>
      </c>
      <c r="E31" s="4" t="s">
        <v>137</v>
      </c>
      <c r="F31" s="4" t="s">
        <v>184</v>
      </c>
      <c r="G31" s="4" t="s">
        <v>185</v>
      </c>
      <c r="H31" s="4" t="s">
        <v>186</v>
      </c>
      <c r="I31" s="8" t="s">
        <v>31</v>
      </c>
    </row>
    <row r="32" ht="15.75" customHeight="1">
      <c r="A32" s="4" t="s">
        <v>187</v>
      </c>
      <c r="B32" s="4" t="s">
        <v>46</v>
      </c>
      <c r="C32" s="4" t="s">
        <v>188</v>
      </c>
      <c r="D32" s="12" t="s">
        <v>155</v>
      </c>
      <c r="E32" s="4" t="s">
        <v>17</v>
      </c>
      <c r="F32" s="4" t="s">
        <v>67</v>
      </c>
      <c r="G32" s="4" t="s">
        <v>189</v>
      </c>
      <c r="H32" s="4" t="s">
        <v>190</v>
      </c>
      <c r="I32" s="4" t="s">
        <v>21</v>
      </c>
    </row>
    <row r="33" ht="15.75" customHeight="1">
      <c r="A33" s="4" t="s">
        <v>191</v>
      </c>
      <c r="B33" s="4" t="s">
        <v>46</v>
      </c>
      <c r="C33" s="4" t="s">
        <v>192</v>
      </c>
      <c r="D33" s="6" t="s">
        <v>15</v>
      </c>
      <c r="E33" s="4" t="s">
        <v>17</v>
      </c>
      <c r="F33" s="4" t="s">
        <v>193</v>
      </c>
      <c r="G33" s="4" t="s">
        <v>194</v>
      </c>
      <c r="H33" s="4" t="s">
        <v>195</v>
      </c>
      <c r="I33" s="8" t="s">
        <v>31</v>
      </c>
    </row>
    <row r="34" ht="15.75" customHeight="1">
      <c r="A34" s="4" t="s">
        <v>196</v>
      </c>
      <c r="B34" s="4" t="s">
        <v>46</v>
      </c>
      <c r="C34" s="4" t="s">
        <v>197</v>
      </c>
      <c r="D34" s="6" t="s">
        <v>15</v>
      </c>
      <c r="E34" s="4" t="s">
        <v>198</v>
      </c>
      <c r="F34" s="4" t="s">
        <v>199</v>
      </c>
      <c r="G34" s="4" t="s">
        <v>200</v>
      </c>
      <c r="H34" s="4" t="s">
        <v>201</v>
      </c>
      <c r="I34" s="8" t="s">
        <v>31</v>
      </c>
    </row>
    <row r="35" ht="15.75" customHeight="1">
      <c r="A35" s="4" t="s">
        <v>202</v>
      </c>
      <c r="B35" s="4" t="s">
        <v>46</v>
      </c>
      <c r="C35" s="4" t="s">
        <v>203</v>
      </c>
      <c r="D35" s="12" t="s">
        <v>155</v>
      </c>
      <c r="E35" s="4" t="s">
        <v>204</v>
      </c>
      <c r="F35" s="4" t="s">
        <v>67</v>
      </c>
      <c r="G35" s="4" t="s">
        <v>205</v>
      </c>
      <c r="H35" s="4" t="s">
        <v>206</v>
      </c>
      <c r="I35" s="4" t="s">
        <v>21</v>
      </c>
    </row>
    <row r="36" ht="15.75" customHeight="1">
      <c r="A36" s="4" t="s">
        <v>207</v>
      </c>
      <c r="B36" s="4" t="s">
        <v>46</v>
      </c>
      <c r="C36" s="4" t="s">
        <v>208</v>
      </c>
      <c r="D36" s="12" t="s">
        <v>155</v>
      </c>
      <c r="E36" s="4" t="s">
        <v>17</v>
      </c>
      <c r="F36" s="4" t="s">
        <v>67</v>
      </c>
      <c r="G36" s="4" t="s">
        <v>209</v>
      </c>
      <c r="H36" s="4" t="s">
        <v>210</v>
      </c>
      <c r="I36" s="4" t="s">
        <v>21</v>
      </c>
    </row>
    <row r="37" ht="15.75" customHeight="1">
      <c r="A37" s="4" t="s">
        <v>211</v>
      </c>
      <c r="B37" s="4" t="s">
        <v>50</v>
      </c>
      <c r="C37" s="4" t="s">
        <v>212</v>
      </c>
      <c r="D37" s="6" t="s">
        <v>15</v>
      </c>
      <c r="E37" s="4" t="s">
        <v>17</v>
      </c>
      <c r="F37" s="4" t="s">
        <v>67</v>
      </c>
      <c r="G37" s="4" t="s">
        <v>213</v>
      </c>
      <c r="H37" s="4" t="s">
        <v>214</v>
      </c>
      <c r="I37" s="4" t="s">
        <v>21</v>
      </c>
    </row>
    <row r="38" ht="15.75" customHeight="1">
      <c r="A38" s="4" t="s">
        <v>215</v>
      </c>
      <c r="B38" s="4" t="s">
        <v>50</v>
      </c>
      <c r="C38" s="4" t="s">
        <v>216</v>
      </c>
      <c r="D38" s="6" t="s">
        <v>15</v>
      </c>
      <c r="E38" s="4" t="s">
        <v>112</v>
      </c>
      <c r="F38" s="4" t="s">
        <v>67</v>
      </c>
      <c r="G38" s="4" t="s">
        <v>217</v>
      </c>
      <c r="H38" s="4" t="s">
        <v>218</v>
      </c>
      <c r="I38" s="8" t="s">
        <v>31</v>
      </c>
    </row>
    <row r="39" ht="15.75" customHeight="1">
      <c r="A39" s="4" t="s">
        <v>219</v>
      </c>
      <c r="B39" s="4" t="s">
        <v>50</v>
      </c>
      <c r="C39" s="4" t="s">
        <v>220</v>
      </c>
      <c r="D39" s="6" t="s">
        <v>15</v>
      </c>
      <c r="E39" s="4" t="s">
        <v>17</v>
      </c>
      <c r="F39" s="4" t="s">
        <v>221</v>
      </c>
      <c r="G39" s="4" t="s">
        <v>222</v>
      </c>
      <c r="H39" s="4" t="s">
        <v>223</v>
      </c>
      <c r="I39" s="4" t="s">
        <v>21</v>
      </c>
    </row>
    <row r="40" ht="15.75" customHeight="1">
      <c r="A40" s="4" t="s">
        <v>224</v>
      </c>
      <c r="B40" s="4" t="s">
        <v>50</v>
      </c>
      <c r="C40" s="4" t="s">
        <v>225</v>
      </c>
      <c r="D40" s="10" t="s">
        <v>92</v>
      </c>
      <c r="E40" s="4" t="s">
        <v>132</v>
      </c>
      <c r="F40" s="4" t="s">
        <v>199</v>
      </c>
      <c r="G40" s="4" t="s">
        <v>226</v>
      </c>
      <c r="H40" s="4" t="s">
        <v>227</v>
      </c>
      <c r="I40" s="4" t="s">
        <v>21</v>
      </c>
    </row>
    <row r="41" ht="15.75" customHeight="1">
      <c r="A41" s="4" t="s">
        <v>228</v>
      </c>
      <c r="B41" s="4" t="s">
        <v>50</v>
      </c>
      <c r="C41" s="4" t="s">
        <v>229</v>
      </c>
      <c r="D41" s="10" t="s">
        <v>92</v>
      </c>
      <c r="E41" s="4" t="s">
        <v>132</v>
      </c>
      <c r="F41" s="4" t="s">
        <v>230</v>
      </c>
      <c r="G41" s="4" t="s">
        <v>231</v>
      </c>
      <c r="H41" s="4" t="s">
        <v>232</v>
      </c>
      <c r="I41" s="4" t="s">
        <v>21</v>
      </c>
    </row>
    <row r="42" ht="15.75" customHeight="1">
      <c r="A42" s="4" t="s">
        <v>233</v>
      </c>
      <c r="B42" s="4" t="s">
        <v>50</v>
      </c>
      <c r="C42" s="4" t="s">
        <v>234</v>
      </c>
      <c r="D42" s="10" t="s">
        <v>92</v>
      </c>
      <c r="E42" s="4" t="s">
        <v>17</v>
      </c>
      <c r="F42" s="4" t="s">
        <v>67</v>
      </c>
      <c r="G42" s="4" t="s">
        <v>235</v>
      </c>
      <c r="H42" s="4" t="s">
        <v>236</v>
      </c>
      <c r="I42" s="4" t="s">
        <v>21</v>
      </c>
    </row>
    <row r="43" ht="15.75" customHeight="1">
      <c r="A43" s="4" t="s">
        <v>237</v>
      </c>
      <c r="B43" s="4" t="s">
        <v>54</v>
      </c>
      <c r="C43" s="4" t="s">
        <v>238</v>
      </c>
      <c r="D43" s="6" t="s">
        <v>15</v>
      </c>
      <c r="E43" s="4" t="s">
        <v>112</v>
      </c>
      <c r="F43" s="4" t="s">
        <v>67</v>
      </c>
      <c r="G43" s="4" t="s">
        <v>239</v>
      </c>
      <c r="H43" s="4" t="s">
        <v>240</v>
      </c>
      <c r="I43" s="8" t="s">
        <v>31</v>
      </c>
    </row>
    <row r="44" ht="15.75" customHeight="1">
      <c r="A44" s="4" t="s">
        <v>241</v>
      </c>
      <c r="B44" s="4" t="s">
        <v>54</v>
      </c>
      <c r="C44" s="4" t="s">
        <v>242</v>
      </c>
      <c r="D44" s="6" t="s">
        <v>15</v>
      </c>
      <c r="E44" s="4" t="s">
        <v>243</v>
      </c>
      <c r="F44" s="4" t="s">
        <v>244</v>
      </c>
      <c r="G44" s="4" t="s">
        <v>245</v>
      </c>
      <c r="H44" s="4" t="s">
        <v>246</v>
      </c>
      <c r="I44" s="4" t="s">
        <v>21</v>
      </c>
    </row>
    <row r="45" ht="15.75" customHeight="1">
      <c r="A45" s="4" t="s">
        <v>247</v>
      </c>
      <c r="B45" s="4" t="s">
        <v>54</v>
      </c>
      <c r="C45" s="4" t="s">
        <v>248</v>
      </c>
      <c r="D45" s="10" t="s">
        <v>92</v>
      </c>
      <c r="E45" s="4" t="s">
        <v>112</v>
      </c>
      <c r="F45" s="4" t="s">
        <v>249</v>
      </c>
      <c r="G45" s="4" t="s">
        <v>250</v>
      </c>
      <c r="H45" s="4" t="s">
        <v>251</v>
      </c>
      <c r="I45" s="4" t="s">
        <v>21</v>
      </c>
    </row>
    <row r="46" ht="15.75" customHeight="1">
      <c r="A46" s="4" t="s">
        <v>252</v>
      </c>
      <c r="B46" s="4" t="s">
        <v>58</v>
      </c>
      <c r="C46" s="4" t="s">
        <v>253</v>
      </c>
      <c r="D46" s="6" t="s">
        <v>15</v>
      </c>
      <c r="E46" s="4" t="s">
        <v>58</v>
      </c>
      <c r="F46" s="4" t="s">
        <v>67</v>
      </c>
      <c r="G46" s="4" t="s">
        <v>254</v>
      </c>
      <c r="H46" s="4" t="s">
        <v>255</v>
      </c>
      <c r="I46" s="4" t="s">
        <v>21</v>
      </c>
    </row>
    <row r="47" ht="15.75" customHeight="1">
      <c r="A47" s="4" t="s">
        <v>256</v>
      </c>
      <c r="B47" s="4" t="s">
        <v>58</v>
      </c>
      <c r="C47" s="4" t="s">
        <v>257</v>
      </c>
      <c r="D47" s="10" t="s">
        <v>92</v>
      </c>
      <c r="E47" s="4" t="s">
        <v>58</v>
      </c>
      <c r="F47" s="4" t="s">
        <v>67</v>
      </c>
      <c r="G47" s="4" t="s">
        <v>258</v>
      </c>
      <c r="H47" s="4" t="s">
        <v>259</v>
      </c>
      <c r="I47" s="4" t="s">
        <v>21</v>
      </c>
    </row>
    <row r="48" ht="15.75" customHeight="1">
      <c r="A48" s="4" t="s">
        <v>260</v>
      </c>
      <c r="B48" s="4" t="s">
        <v>58</v>
      </c>
      <c r="C48" s="4" t="s">
        <v>261</v>
      </c>
      <c r="D48" s="10" t="s">
        <v>92</v>
      </c>
      <c r="E48" s="4" t="s">
        <v>262</v>
      </c>
      <c r="F48" s="4" t="s">
        <v>67</v>
      </c>
      <c r="G48" s="4" t="s">
        <v>263</v>
      </c>
      <c r="H48" s="4" t="s">
        <v>264</v>
      </c>
      <c r="I48" s="4" t="s">
        <v>21</v>
      </c>
    </row>
    <row r="49" ht="15.75" customHeight="1">
      <c r="A49" s="4" t="s">
        <v>265</v>
      </c>
      <c r="B49" s="4" t="s">
        <v>58</v>
      </c>
      <c r="C49" s="4" t="s">
        <v>266</v>
      </c>
      <c r="D49" s="10" t="s">
        <v>92</v>
      </c>
      <c r="E49" s="4" t="s">
        <v>58</v>
      </c>
      <c r="F49" s="4" t="s">
        <v>267</v>
      </c>
      <c r="G49" s="4" t="s">
        <v>268</v>
      </c>
      <c r="H49" s="4" t="s">
        <v>269</v>
      </c>
      <c r="I49" s="4" t="s">
        <v>21</v>
      </c>
    </row>
    <row r="50" ht="15.75" customHeight="1">
      <c r="A50" s="4" t="s">
        <v>270</v>
      </c>
      <c r="B50" s="4" t="s">
        <v>58</v>
      </c>
      <c r="C50" s="4" t="s">
        <v>271</v>
      </c>
      <c r="D50" s="12" t="s">
        <v>155</v>
      </c>
      <c r="E50" s="4" t="s">
        <v>272</v>
      </c>
      <c r="F50" s="4" t="s">
        <v>67</v>
      </c>
      <c r="G50" s="4" t="s">
        <v>273</v>
      </c>
      <c r="H50" s="4" t="s">
        <v>274</v>
      </c>
      <c r="I50" s="4" t="s">
        <v>21</v>
      </c>
    </row>
    <row r="51" ht="15.75" customHeight="1">
      <c r="A51" s="4" t="s">
        <v>275</v>
      </c>
      <c r="B51" s="4" t="s">
        <v>62</v>
      </c>
      <c r="C51" s="4" t="s">
        <v>276</v>
      </c>
      <c r="D51" s="6" t="s">
        <v>15</v>
      </c>
      <c r="E51" s="4" t="s">
        <v>17</v>
      </c>
      <c r="F51" s="4" t="s">
        <v>277</v>
      </c>
      <c r="G51" s="4" t="s">
        <v>278</v>
      </c>
      <c r="H51" s="4" t="s">
        <v>279</v>
      </c>
      <c r="I51" s="4" t="s">
        <v>21</v>
      </c>
    </row>
    <row r="52" ht="15.75" customHeight="1">
      <c r="A52" s="4" t="s">
        <v>280</v>
      </c>
      <c r="B52" s="4" t="s">
        <v>62</v>
      </c>
      <c r="C52" s="4" t="s">
        <v>281</v>
      </c>
      <c r="D52" s="6" t="s">
        <v>15</v>
      </c>
      <c r="E52" s="4" t="s">
        <v>17</v>
      </c>
      <c r="F52" s="4" t="s">
        <v>282</v>
      </c>
      <c r="G52" s="4" t="s">
        <v>283</v>
      </c>
      <c r="H52" s="4" t="s">
        <v>284</v>
      </c>
      <c r="I52" s="4" t="s">
        <v>21</v>
      </c>
    </row>
    <row r="53" ht="15.75" customHeight="1">
      <c r="A53" s="4" t="s">
        <v>285</v>
      </c>
      <c r="B53" s="4" t="s">
        <v>62</v>
      </c>
      <c r="C53" s="4" t="s">
        <v>286</v>
      </c>
      <c r="D53" s="6" t="s">
        <v>15</v>
      </c>
      <c r="E53" s="4" t="s">
        <v>17</v>
      </c>
      <c r="F53" s="4" t="s">
        <v>282</v>
      </c>
      <c r="G53" s="4" t="s">
        <v>287</v>
      </c>
      <c r="H53" s="4" t="s">
        <v>288</v>
      </c>
      <c r="I53" s="4" t="s">
        <v>21</v>
      </c>
    </row>
    <row r="54" ht="15.75" customHeight="1">
      <c r="A54" s="4" t="s">
        <v>289</v>
      </c>
      <c r="B54" s="4" t="s">
        <v>62</v>
      </c>
      <c r="C54" s="4" t="s">
        <v>290</v>
      </c>
      <c r="D54" s="6" t="s">
        <v>15</v>
      </c>
      <c r="E54" s="4" t="s">
        <v>17</v>
      </c>
      <c r="F54" s="4" t="s">
        <v>282</v>
      </c>
      <c r="G54" s="4" t="s">
        <v>291</v>
      </c>
      <c r="H54" s="4" t="s">
        <v>292</v>
      </c>
      <c r="I54" s="4" t="s">
        <v>21</v>
      </c>
    </row>
    <row r="55" ht="15.75" customHeight="1">
      <c r="A55" s="4" t="s">
        <v>293</v>
      </c>
      <c r="B55" s="4" t="s">
        <v>62</v>
      </c>
      <c r="C55" s="4" t="s">
        <v>294</v>
      </c>
      <c r="D55" s="6" t="s">
        <v>15</v>
      </c>
      <c r="E55" s="4" t="s">
        <v>112</v>
      </c>
      <c r="F55" s="4" t="s">
        <v>282</v>
      </c>
      <c r="G55" s="4" t="s">
        <v>295</v>
      </c>
      <c r="H55" s="4" t="s">
        <v>296</v>
      </c>
      <c r="I55" s="4" t="s">
        <v>21</v>
      </c>
    </row>
    <row r="56" ht="15.75" customHeight="1">
      <c r="A56" s="4" t="s">
        <v>297</v>
      </c>
      <c r="B56" s="4" t="s">
        <v>62</v>
      </c>
      <c r="C56" s="4" t="s">
        <v>298</v>
      </c>
      <c r="D56" s="10" t="s">
        <v>92</v>
      </c>
      <c r="E56" s="4" t="s">
        <v>204</v>
      </c>
      <c r="F56" s="4" t="s">
        <v>299</v>
      </c>
      <c r="G56" s="4" t="s">
        <v>300</v>
      </c>
      <c r="H56" s="4" t="s">
        <v>301</v>
      </c>
      <c r="I56" s="4" t="s">
        <v>21</v>
      </c>
    </row>
    <row r="57" ht="15.75" customHeight="1">
      <c r="A57" s="4" t="s">
        <v>302</v>
      </c>
      <c r="B57" s="4" t="s">
        <v>62</v>
      </c>
      <c r="C57" s="4" t="s">
        <v>303</v>
      </c>
      <c r="D57" s="10" t="s">
        <v>92</v>
      </c>
      <c r="E57" s="4" t="s">
        <v>204</v>
      </c>
      <c r="F57" s="4" t="s">
        <v>304</v>
      </c>
      <c r="G57" s="4" t="s">
        <v>305</v>
      </c>
      <c r="H57" s="4" t="s">
        <v>306</v>
      </c>
      <c r="I57" s="4" t="s">
        <v>21</v>
      </c>
    </row>
    <row r="58" ht="15.75" customHeight="1">
      <c r="A58" s="4" t="s">
        <v>307</v>
      </c>
      <c r="B58" s="4" t="s">
        <v>62</v>
      </c>
      <c r="C58" s="4" t="s">
        <v>308</v>
      </c>
      <c r="D58" s="6" t="s">
        <v>15</v>
      </c>
      <c r="E58" s="4" t="s">
        <v>112</v>
      </c>
      <c r="F58" s="4" t="s">
        <v>309</v>
      </c>
      <c r="G58" s="4" t="s">
        <v>310</v>
      </c>
      <c r="H58" s="4" t="s">
        <v>311</v>
      </c>
      <c r="I58" s="4" t="s">
        <v>21</v>
      </c>
    </row>
    <row r="59" ht="15.75" customHeight="1">
      <c r="A59" s="4" t="s">
        <v>312</v>
      </c>
      <c r="B59" s="4" t="s">
        <v>65</v>
      </c>
      <c r="C59" s="4" t="s">
        <v>313</v>
      </c>
      <c r="D59" s="10" t="s">
        <v>92</v>
      </c>
      <c r="E59" s="4" t="s">
        <v>65</v>
      </c>
      <c r="F59" s="4" t="s">
        <v>67</v>
      </c>
      <c r="G59" s="4" t="s">
        <v>314</v>
      </c>
      <c r="H59" s="4" t="s">
        <v>315</v>
      </c>
      <c r="I59" s="4" t="s">
        <v>21</v>
      </c>
    </row>
    <row r="60" ht="15.75" customHeight="1">
      <c r="A60" s="4" t="s">
        <v>316</v>
      </c>
      <c r="B60" s="4" t="s">
        <v>65</v>
      </c>
      <c r="C60" s="4" t="s">
        <v>317</v>
      </c>
      <c r="D60" s="10" t="s">
        <v>92</v>
      </c>
      <c r="E60" s="4" t="s">
        <v>65</v>
      </c>
      <c r="F60" s="4" t="s">
        <v>67</v>
      </c>
      <c r="G60" s="4" t="s">
        <v>318</v>
      </c>
      <c r="H60" s="4" t="s">
        <v>319</v>
      </c>
      <c r="I60" s="4" t="s">
        <v>21</v>
      </c>
    </row>
    <row r="61" ht="15.75" customHeight="1">
      <c r="A61" s="4" t="s">
        <v>320</v>
      </c>
      <c r="B61" s="4" t="s">
        <v>65</v>
      </c>
      <c r="C61" s="4" t="s">
        <v>321</v>
      </c>
      <c r="D61" s="10" t="s">
        <v>92</v>
      </c>
      <c r="E61" s="4" t="s">
        <v>65</v>
      </c>
      <c r="F61" s="4" t="s">
        <v>322</v>
      </c>
      <c r="G61" s="4" t="s">
        <v>323</v>
      </c>
      <c r="H61" s="4" t="s">
        <v>324</v>
      </c>
      <c r="I61" s="8" t="s">
        <v>31</v>
      </c>
    </row>
    <row r="62" ht="15.75" customHeight="1">
      <c r="A62" s="4" t="s">
        <v>325</v>
      </c>
      <c r="B62" s="4" t="s">
        <v>65</v>
      </c>
      <c r="C62" s="4" t="s">
        <v>326</v>
      </c>
      <c r="D62" s="12" t="s">
        <v>155</v>
      </c>
      <c r="E62" s="4" t="s">
        <v>65</v>
      </c>
      <c r="F62" s="4" t="s">
        <v>67</v>
      </c>
      <c r="G62" s="4" t="s">
        <v>327</v>
      </c>
      <c r="H62" s="4" t="s">
        <v>328</v>
      </c>
      <c r="I62" s="4" t="s">
        <v>21</v>
      </c>
    </row>
    <row r="63" ht="15.75" customHeight="1">
      <c r="A63" s="4" t="s">
        <v>329</v>
      </c>
      <c r="B63" s="4" t="s">
        <v>65</v>
      </c>
      <c r="C63" s="4" t="s">
        <v>330</v>
      </c>
      <c r="D63" s="12" t="s">
        <v>155</v>
      </c>
      <c r="E63" s="4" t="s">
        <v>65</v>
      </c>
      <c r="F63" s="4" t="s">
        <v>67</v>
      </c>
      <c r="G63" s="4" t="s">
        <v>331</v>
      </c>
      <c r="H63" s="4" t="s">
        <v>332</v>
      </c>
      <c r="I63" s="4" t="s">
        <v>21</v>
      </c>
    </row>
    <row r="64" ht="15.75" customHeight="1">
      <c r="A64" s="4" t="s">
        <v>333</v>
      </c>
      <c r="B64" s="4" t="s">
        <v>69</v>
      </c>
      <c r="C64" s="4" t="s">
        <v>334</v>
      </c>
      <c r="D64" s="10" t="s">
        <v>92</v>
      </c>
      <c r="E64" s="4" t="s">
        <v>335</v>
      </c>
      <c r="F64" s="4" t="s">
        <v>336</v>
      </c>
      <c r="G64" s="4" t="s">
        <v>337</v>
      </c>
      <c r="H64" s="4" t="s">
        <v>338</v>
      </c>
      <c r="I64" s="4" t="s">
        <v>21</v>
      </c>
    </row>
    <row r="65" ht="15.75" customHeight="1">
      <c r="A65" s="4" t="s">
        <v>339</v>
      </c>
      <c r="B65" s="4" t="s">
        <v>69</v>
      </c>
      <c r="C65" s="4" t="s">
        <v>340</v>
      </c>
      <c r="D65" s="10" t="s">
        <v>92</v>
      </c>
      <c r="E65" s="4" t="s">
        <v>335</v>
      </c>
      <c r="F65" s="4" t="s">
        <v>67</v>
      </c>
      <c r="G65" s="4" t="s">
        <v>341</v>
      </c>
      <c r="H65" s="4" t="s">
        <v>342</v>
      </c>
      <c r="I65" s="4" t="s">
        <v>21</v>
      </c>
    </row>
    <row r="66" ht="15.75" customHeight="1">
      <c r="A66" s="4" t="s">
        <v>343</v>
      </c>
      <c r="B66" s="4" t="s">
        <v>69</v>
      </c>
      <c r="C66" s="4" t="s">
        <v>344</v>
      </c>
      <c r="D66" s="12" t="s">
        <v>155</v>
      </c>
      <c r="E66" s="4" t="s">
        <v>335</v>
      </c>
      <c r="F66" s="4" t="s">
        <v>345</v>
      </c>
      <c r="G66" s="4" t="s">
        <v>346</v>
      </c>
      <c r="H66" s="4" t="s">
        <v>347</v>
      </c>
      <c r="I66" s="4" t="s">
        <v>21</v>
      </c>
    </row>
    <row r="67" ht="15.75" customHeight="1">
      <c r="A67" s="4" t="s">
        <v>348</v>
      </c>
      <c r="B67" s="4" t="s">
        <v>72</v>
      </c>
      <c r="C67" s="4" t="s">
        <v>349</v>
      </c>
      <c r="D67" s="12" t="s">
        <v>155</v>
      </c>
      <c r="E67" s="4" t="s">
        <v>72</v>
      </c>
      <c r="F67" s="4" t="s">
        <v>350</v>
      </c>
      <c r="G67" s="4" t="s">
        <v>351</v>
      </c>
      <c r="H67" s="4" t="s">
        <v>352</v>
      </c>
      <c r="I67" s="4" t="s">
        <v>21</v>
      </c>
    </row>
    <row r="68" ht="15.75" customHeight="1">
      <c r="A68" s="4" t="s">
        <v>353</v>
      </c>
      <c r="B68" s="4" t="s">
        <v>72</v>
      </c>
      <c r="C68" s="4" t="s">
        <v>354</v>
      </c>
      <c r="D68" s="12" t="s">
        <v>155</v>
      </c>
      <c r="E68" s="4" t="s">
        <v>72</v>
      </c>
      <c r="F68" s="4" t="s">
        <v>355</v>
      </c>
      <c r="G68" s="4" t="s">
        <v>356</v>
      </c>
      <c r="H68" s="4" t="s">
        <v>357</v>
      </c>
      <c r="I68" s="4" t="s">
        <v>21</v>
      </c>
    </row>
    <row r="69" ht="15.75" customHeight="1">
      <c r="A69" s="4" t="s">
        <v>358</v>
      </c>
      <c r="B69" s="4" t="s">
        <v>72</v>
      </c>
      <c r="C69" s="4" t="s">
        <v>359</v>
      </c>
      <c r="D69" s="12" t="s">
        <v>155</v>
      </c>
      <c r="E69" s="4" t="s">
        <v>72</v>
      </c>
      <c r="F69" s="4" t="s">
        <v>360</v>
      </c>
      <c r="G69" s="4" t="s">
        <v>361</v>
      </c>
      <c r="H69" s="4" t="s">
        <v>362</v>
      </c>
      <c r="I69" s="4" t="s">
        <v>21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69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6.0"/>
    <col customWidth="1" min="3" max="26" width="8.71"/>
  </cols>
  <sheetData>
    <row r="1">
      <c r="A1" s="3" t="s">
        <v>1</v>
      </c>
      <c r="B1" s="3" t="s">
        <v>13</v>
      </c>
    </row>
    <row r="2">
      <c r="A2" s="7" t="s">
        <v>16</v>
      </c>
      <c r="B2" s="7">
        <f>COUNTA('Test Cases'!A2:A69)</f>
        <v>68</v>
      </c>
    </row>
    <row r="3">
      <c r="A3" s="7" t="s">
        <v>79</v>
      </c>
      <c r="B3" s="7">
        <f>COUNTIF('Test Cases'!D2:D69,"P1")</f>
        <v>30</v>
      </c>
    </row>
    <row r="4">
      <c r="A4" s="7" t="s">
        <v>91</v>
      </c>
      <c r="B4" s="7">
        <f>COUNTIF('Test Cases'!D2:D69,"P2")</f>
        <v>25</v>
      </c>
    </row>
    <row r="5">
      <c r="A5" s="7" t="s">
        <v>97</v>
      </c>
      <c r="B5" s="7">
        <f>COUNTIF('Test Cases'!D2:D69,"P3")</f>
        <v>13</v>
      </c>
    </row>
    <row r="6">
      <c r="A6" s="7" t="s">
        <v>104</v>
      </c>
      <c r="B6" s="7">
        <f>COUNTIF('Test Cases'!I2:I69,"Y")</f>
        <v>15</v>
      </c>
    </row>
    <row r="7">
      <c r="A7" s="7"/>
      <c r="B7" s="7"/>
    </row>
    <row r="8">
      <c r="A8" s="11" t="s">
        <v>116</v>
      </c>
      <c r="B8" s="7"/>
    </row>
    <row r="9">
      <c r="A9" s="7" t="s">
        <v>12</v>
      </c>
      <c r="B9" s="7">
        <f>COUNTIF('Test Cases'!B2:B69,"Smoke")</f>
        <v>5</v>
      </c>
    </row>
    <row r="10">
      <c r="A10" s="7" t="s">
        <v>39</v>
      </c>
      <c r="B10" s="7">
        <f>COUNTIF('Test Cases'!B2:B69,"Functional")</f>
        <v>9</v>
      </c>
    </row>
    <row r="11">
      <c r="A11" s="7" t="s">
        <v>43</v>
      </c>
      <c r="B11" s="7">
        <f>COUNTIF('Test Cases'!B2:B69,"Validation &amp; Boundary")</f>
        <v>13</v>
      </c>
    </row>
    <row r="12">
      <c r="A12" s="7" t="s">
        <v>46</v>
      </c>
      <c r="B12" s="7">
        <f>COUNTIF('Test Cases'!B2:B69,"UI / UX")</f>
        <v>8</v>
      </c>
    </row>
    <row r="13">
      <c r="A13" s="7" t="s">
        <v>50</v>
      </c>
      <c r="B13" s="7">
        <f>COUNTIF('Test Cases'!B2:B69,"State Management (Save/Discard)")</f>
        <v>6</v>
      </c>
    </row>
    <row r="14">
      <c r="A14" s="7" t="s">
        <v>54</v>
      </c>
      <c r="B14" s="7">
        <f>COUNTIF('Test Cases'!B2:B69,"Regression")</f>
        <v>3</v>
      </c>
    </row>
    <row r="15">
      <c r="A15" s="7" t="s">
        <v>58</v>
      </c>
      <c r="B15" s="7">
        <f>COUNTIF('Test Cases'!B2:B69,"Security")</f>
        <v>5</v>
      </c>
    </row>
    <row r="16">
      <c r="A16" s="7" t="s">
        <v>62</v>
      </c>
      <c r="B16" s="7">
        <f>COUNTIF('Test Cases'!B2:B69,"Integration / End-to-End")</f>
        <v>8</v>
      </c>
    </row>
    <row r="17">
      <c r="A17" s="7" t="s">
        <v>65</v>
      </c>
      <c r="B17" s="7">
        <f>COUNTIF('Test Cases'!B2:B69,"Accessibility")</f>
        <v>5</v>
      </c>
    </row>
    <row r="18">
      <c r="A18" s="7" t="s">
        <v>69</v>
      </c>
      <c r="B18" s="7">
        <f>COUNTIF('Test Cases'!B2:B69,"Cross-Browser / Responsive")</f>
        <v>3</v>
      </c>
    </row>
    <row r="19">
      <c r="A19" s="7" t="s">
        <v>72</v>
      </c>
      <c r="B19" s="7">
        <f>COUNTIF('Test Cases'!B2:B69,"Performance")</f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